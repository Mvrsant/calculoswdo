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lanilhas\"/>
    </mc:Choice>
  </mc:AlternateContent>
  <xr:revisionPtr revIDLastSave="0" documentId="13_ncr:1_{212009A8-E6E0-4887-8601-3AD5ED3722ED}" xr6:coauthVersionLast="47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dde profit" sheetId="12" r:id="rId1"/>
    <sheet name="base_b3" sheetId="4" r:id="rId2"/>
  </sheets>
  <externalReferences>
    <externalReference r:id="rId3"/>
  </externalReferences>
  <definedNames>
    <definedName name="superficie_de_volatilidade_de_dolar" localSheetId="1">base_b3!$A$1:$L$49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" i="12" l="1" a="1"/>
  <c r="O6" i="12" s="1"/>
  <c r="K2" i="12" a="1"/>
  <c r="K2" i="12" s="1"/>
  <c r="L2" i="12" a="1"/>
  <c r="L2" i="12" s="1"/>
  <c r="M2" i="12" a="1"/>
  <c r="M2" i="12" s="1"/>
  <c r="N2" i="12" a="1"/>
  <c r="N2" i="12" s="1"/>
  <c r="O2" i="12" a="1"/>
  <c r="O2" i="12" s="1"/>
  <c r="P2" i="12" a="1"/>
  <c r="P2" i="12" s="1"/>
  <c r="Q2" i="12" a="1"/>
  <c r="Q2" i="12" s="1"/>
  <c r="R2" i="12" a="1"/>
  <c r="R2" i="12" s="1"/>
  <c r="S2" i="12" a="1"/>
  <c r="S2" i="12" s="1"/>
  <c r="K3" i="12" a="1"/>
  <c r="K3" i="12" s="1"/>
  <c r="L3" i="12" a="1"/>
  <c r="L3" i="12" s="1"/>
  <c r="M3" i="12" a="1"/>
  <c r="M3" i="12" s="1"/>
  <c r="N3" i="12" a="1"/>
  <c r="N3" i="12" s="1"/>
  <c r="O3" i="12" a="1"/>
  <c r="O3" i="12" s="1"/>
  <c r="P3" i="12" a="1"/>
  <c r="P3" i="12" s="1"/>
  <c r="Q3" i="12" a="1"/>
  <c r="Q3" i="12" s="1"/>
  <c r="R3" i="12" a="1"/>
  <c r="R3" i="12" s="1"/>
  <c r="S3" i="12" a="1"/>
  <c r="S3" i="12" s="1"/>
  <c r="K4" i="12" a="1"/>
  <c r="K4" i="12" s="1"/>
  <c r="L4" i="12" a="1"/>
  <c r="L4" i="12" s="1"/>
  <c r="M4" i="12" a="1"/>
  <c r="M4" i="12" s="1"/>
  <c r="N4" i="12" a="1"/>
  <c r="N4" i="12" s="1"/>
  <c r="O4" i="12" a="1"/>
  <c r="O4" i="12" s="1"/>
  <c r="P4" i="12" a="1"/>
  <c r="P4" i="12" s="1"/>
  <c r="Q4" i="12" a="1"/>
  <c r="Q4" i="12" s="1"/>
  <c r="R4" i="12" a="1"/>
  <c r="R4" i="12" s="1"/>
  <c r="S4" i="12" a="1"/>
  <c r="S4" i="12" s="1"/>
  <c r="K5" i="12" a="1"/>
  <c r="K5" i="12" s="1"/>
  <c r="L5" i="12" a="1"/>
  <c r="L5" i="12" s="1"/>
  <c r="M5" i="12" a="1"/>
  <c r="M5" i="12" s="1"/>
  <c r="N5" i="12" a="1"/>
  <c r="N5" i="12" s="1"/>
  <c r="P5" i="12" a="1"/>
  <c r="P5" i="12" s="1"/>
  <c r="Q5" i="12" a="1"/>
  <c r="Q5" i="12" s="1"/>
  <c r="R5" i="12" a="1"/>
  <c r="R5" i="12" s="1"/>
  <c r="S5" i="12" a="1"/>
  <c r="S5" i="12" s="1"/>
  <c r="K6" i="12" a="1"/>
  <c r="K6" i="12" s="1"/>
  <c r="L6" i="12" a="1"/>
  <c r="L6" i="12" s="1"/>
  <c r="M6" i="12" a="1"/>
  <c r="M6" i="12" s="1"/>
  <c r="N6" i="12" a="1"/>
  <c r="N6" i="12" s="1"/>
  <c r="P6" i="12" a="1"/>
  <c r="P6" i="12" s="1"/>
  <c r="Q6" i="12" a="1"/>
  <c r="Q6" i="12" s="1"/>
  <c r="R6" i="12" a="1"/>
  <c r="R6" i="12" s="1"/>
  <c r="S6" i="12" a="1"/>
  <c r="S6" i="12" s="1"/>
  <c r="K7" i="12" a="1"/>
  <c r="K7" i="12" s="1"/>
  <c r="L7" i="12" a="1"/>
  <c r="L7" i="12" s="1"/>
  <c r="M7" i="12" a="1"/>
  <c r="M7" i="12" s="1"/>
  <c r="N7" i="12" a="1"/>
  <c r="N7" i="12" s="1"/>
  <c r="O7" i="12" a="1"/>
  <c r="O7" i="12" s="1"/>
  <c r="P7" i="12" a="1"/>
  <c r="P7" i="12" s="1"/>
  <c r="Q7" i="12" a="1"/>
  <c r="Q7" i="12" s="1"/>
  <c r="R7" i="12" a="1"/>
  <c r="R7" i="12" s="1"/>
  <c r="S7" i="12" a="1"/>
  <c r="S7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exão" type="4" refreshedVersion="7" background="1" refreshOnLoad="1" saveData="1">
    <webPr sourceData="1" parsePre="1" consecutive="1" xl2000="1" url="http://www.b3.com.br/pt_br/market-data-e-indices/servicos-de-dados/market-data/consultas/mercado-de-derivativos/precos-referenciais/superficie-de-volatilidade-de-dolar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<sst xmlns="http://schemas.openxmlformats.org/spreadsheetml/2006/main" count="39" uniqueCount="38">
  <si>
    <t>Ir conteúdo Ir menu Ir rodapé</t>
  </si>
  <si>
    <t>Campo de busca</t>
  </si>
  <si>
    <t>pt_BR</t>
  </si>
  <si>
    <t>en_US</t>
  </si>
  <si>
    <t>es</t>
  </si>
  <si>
    <t xml:space="preserve">Voltar </t>
  </si>
  <si>
    <t>Superfície de volatilidade de dólar</t>
  </si>
  <si>
    <t>Home</t>
  </si>
  <si>
    <t>Market Data e Índices</t>
  </si>
  <si>
    <t>Serviços de dados</t>
  </si>
  <si>
    <t>Market Data</t>
  </si>
  <si>
    <t>Consultas</t>
  </si>
  <si>
    <t>Mercado de Derivativos</t>
  </si>
  <si>
    <t>Preços referenciais</t>
  </si>
  <si>
    <t>Asset</t>
  </si>
  <si>
    <t>Último</t>
  </si>
  <si>
    <t>Abertura</t>
  </si>
  <si>
    <t>Máximo</t>
  </si>
  <si>
    <t>Mínimo</t>
  </si>
  <si>
    <t>Fechamento Anterior</t>
  </si>
  <si>
    <t>Variação</t>
  </si>
  <si>
    <t>Negócios</t>
  </si>
  <si>
    <t>Volume</t>
  </si>
  <si>
    <t>Vencimento</t>
  </si>
  <si>
    <t>DI1FUT</t>
  </si>
  <si>
    <t>USD/BRL</t>
  </si>
  <si>
    <t>WDOFUT</t>
  </si>
  <si>
    <t>Canal exclusivo para pessoa com deficiência auditiva.</t>
  </si>
  <si>
    <t>Você será redirecionado para atendimento com uma pessoa especializada.</t>
  </si>
  <si>
    <t>voltarclique para continuar</t>
  </si>
  <si>
    <t>FRP0</t>
  </si>
  <si>
    <t>DOLINDEX</t>
  </si>
  <si>
    <t>GLDFUT</t>
  </si>
  <si>
    <t xml:space="preserve"> * A superfície de volatilidade de dólar é construída com base nas informações coletadas por um pool de Informantes às 18h</t>
  </si>
  <si>
    <t xml:space="preserve"> Ícone        </t>
  </si>
  <si>
    <t xml:space="preserve">                                                                                                                                                                                                               Download do arquivo</t>
  </si>
  <si>
    <t xml:space="preserve">         Atualizado em: 17/03/2026</t>
  </si>
  <si>
    <t>Delta%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</si>
</sst>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7" fontId="1" fillId="2" borderId="0" xfId="0" applyNumberFormat="1" applyFont="1" applyFill="1" applyAlignment="1">
      <alignment horizontal="left"/>
    </xf>
    <xf numFmtId="17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48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ddeLink xmlns:r="http://schemas.openxmlformats.org/officeDocument/2006/relationships" ddeService="profitchart" ddeTopic="cot">
    <ddeItems>
      <ddeItem name="DI1FUT.ABE" advise="1">
        <values>
          <value>
            <val>13.55</val>
          </value>
        </values>
      </ddeItem>
      <ddeItem name="DI1FUT.FEC" advise="1">
        <values>
          <value>
            <val>13.535000000000002</val>
          </value>
        </values>
      </ddeItem>
      <ddeItem name="DI1FUT.MAX" advise="1">
        <values>
          <value>
            <val>13.8</val>
          </value>
        </values>
      </ddeItem>
      <ddeItem name="DI1FUT.MIN" advise="1">
        <values>
          <value>
            <val>13.37</val>
          </value>
        </values>
      </ddeItem>
      <ddeItem name="DI1FUT.NEG" advise="1">
        <values>
          <value>
            <val>98045</val>
          </value>
        </values>
      </ddeItem>
      <ddeItem name="DI1FUT.ULT" advise="1">
        <values>
          <value>
            <val>13.605</val>
          </value>
        </values>
      </ddeItem>
      <ddeItem name="DI1FUT.VAR" advise="1">
        <values>
          <value>
            <val>0.51717768747690229</val>
          </value>
        </values>
      </ddeItem>
      <ddeItem name="DI1FUT.VEN" advise="1">
        <values>
          <value t="str">
            <val>02/01/2029</val>
          </value>
        </values>
      </ddeItem>
      <ddeItem name="DI1FUT.VOL" advise="1">
        <values>
          <value>
            <val>62117723915.089996</val>
          </value>
        </values>
      </ddeItem>
      <ddeItem name="DOLINDEX.ABE" advise="1">
        <values>
          <value>
            <val>0</val>
          </value>
        </values>
      </ddeItem>
      <ddeItem name="DOLINDEX.FEC" advise="1">
        <values>
          <value>
            <val>0</val>
          </value>
        </values>
      </ddeItem>
      <ddeItem name="DOLINDEX.MAX" advise="1">
        <values>
          <value>
            <val>0</val>
          </value>
        </values>
      </ddeItem>
      <ddeItem name="DOLINDEX.MIN" advise="1">
        <values>
          <value>
            <val>0</val>
          </value>
        </values>
      </ddeItem>
      <ddeItem name="DOLINDEX.NEG" advise="1">
        <values>
          <value>
            <val>0</val>
          </value>
        </values>
      </ddeItem>
      <ddeItem name="DOLINDEX.ULT" advise="1">
        <values>
          <value>
            <val>0</val>
          </value>
        </values>
      </ddeItem>
      <ddeItem name="DOLINDEX.VAR" advise="1">
        <values>
          <value>
            <val>0</val>
          </value>
        </values>
      </ddeItem>
      <ddeItem name="DOLINDEX.VEN" advise="1">
        <values>
          <value t="str">
            <val>01/01/3000</val>
          </value>
        </values>
      </ddeItem>
      <ddeItem name="DOLINDEX.VOL" advise="1">
        <values>
          <value>
            <val>0</val>
          </value>
        </values>
      </ddeItem>
      <ddeItem name="FRP0.ABE" advise="1">
        <values>
          <value>
            <val>18.600000000000001</val>
          </value>
        </values>
      </ddeItem>
      <ddeItem name="FRP0.FEC" advise="1">
        <values>
          <value>
            <val>20.3</val>
          </value>
        </values>
      </ddeItem>
      <ddeItem name="FRP0.MAX" advise="1">
        <values>
          <value>
            <val>19.399999999999999</val>
          </value>
        </values>
      </ddeItem>
      <ddeItem name="FRP0.MIN" advise="1">
        <values>
          <value>
            <val>18.100000000000001</val>
          </value>
        </values>
      </ddeItem>
      <ddeItem name="FRP0.NEG" advise="1">
        <values>
          <value>
            <val>153</val>
          </value>
        </values>
      </ddeItem>
      <ddeItem name="FRP0.ULT" advise="1">
        <values>
          <value>
            <val>19.399999999999999</val>
          </value>
        </values>
      </ddeItem>
      <ddeItem name="FRP0.VAR" advise="1">
        <values>
          <value>
            <val>-4.4334975369458078</val>
          </value>
        </values>
      </ddeItem>
      <ddeItem name="FRP0.VEN" advise="1">
        <values>
          <value t="str">
            <val>30/03/2026</val>
          </value>
        </values>
      </ddeItem>
      <ddeItem name="FRP0.VOL" advise="1">
        <values>
          <value>
            <val>9509786375</val>
          </value>
        </values>
      </ddeItem>
      <ddeItem name="GLDFUT.ABE" advise="1">
        <values>
          <value>
            <val>5043</val>
          </value>
        </values>
      </ddeItem>
      <ddeItem name="GLDFUT.FEC" advise="1">
        <values>
          <value>
            <val>5043.75</val>
          </value>
        </values>
      </ddeItem>
      <ddeItem name="GLDFUT.MAX" advise="1">
        <values>
          <value>
            <val>5061.75</val>
          </value>
        </values>
      </ddeItem>
      <ddeItem name="GLDFUT.MIN" advise="1">
        <values>
          <value>
            <val>5006</val>
          </value>
        </values>
      </ddeItem>
      <ddeItem name="GLDFUT.NEG" advise="1">
        <values>
          <value>
            <val>814</val>
          </value>
        </values>
      </ddeItem>
      <ddeItem name="GLDFUT.ULT" advise="1">
        <values>
          <value>
            <val>5035.75</val>
          </value>
        </values>
      </ddeItem>
      <ddeItem name="GLDFUT.VAR" advise="1">
        <values>
          <value>
            <val>-0.15861214374226051</val>
          </value>
        </values>
      </ddeItem>
      <ddeItem name="GLDFUT.VEN" advise="1">
        <values>
          <value t="str">
            <val>28/04/2026</val>
          </value>
        </values>
      </ddeItem>
      <ddeItem name="GLDFUT.VOL" advise="1">
        <values>
          <value>
            <val>82612960.239999995</val>
          </value>
        </values>
      </ddeItem>
      <ddeItem name="StdDocumentName" ole="1" advise="1"/>
      <ddeItem name="USD/BRL.ABE" advise="1">
        <values>
          <value>
            <val>0</val>
          </value>
        </values>
      </ddeItem>
      <ddeItem name="USD/BRL.FEC" advise="1">
        <values>
          <value>
            <val>0</val>
          </value>
        </values>
      </ddeItem>
      <ddeItem name="USD/BRL.MAX" advise="1">
        <values>
          <value>
            <val>0</val>
          </value>
        </values>
      </ddeItem>
      <ddeItem name="USD/BRL.MIN" advise="1">
        <values>
          <value>
            <val>0</val>
          </value>
        </values>
      </ddeItem>
      <ddeItem name="USD/BRL.NEG" advise="1">
        <values>
          <value>
            <val>0</val>
          </value>
        </values>
      </ddeItem>
      <ddeItem name="USD/BRL.ULT" advise="1">
        <values>
          <value>
            <val>0</val>
          </value>
        </values>
      </ddeItem>
      <ddeItem name="USD/BRL.VAR" advise="1">
        <values>
          <value>
            <val>0</val>
          </value>
        </values>
      </ddeItem>
      <ddeItem name="USD/BRL.VEN" advise="1">
        <values>
          <value t="str">
            <val>01/01/3000</val>
          </value>
        </values>
      </ddeItem>
      <ddeItem name="USD/BRL.VOL" advise="1">
        <values>
          <value>
            <val>0</val>
          </value>
        </values>
      </ddeItem>
      <ddeItem name="WDOFUT.ABE" advise="1">
        <values>
          <value>
            <val>5253</val>
          </value>
        </values>
      </ddeItem>
      <ddeItem name="WDOFUT.MAX" advise="1">
        <values>
          <value>
            <val>5261</val>
          </value>
        </values>
      </ddeItem>
      <ddeItem name="WDOFUT.MIN" advise="1">
        <values>
          <value>
            <val>5195.5</val>
          </value>
        </values>
      </ddeItem>
      <ddeItem name="WDOFUT.NEG" advise="1">
        <values>
          <value>
            <val>729445</val>
          </value>
        </values>
      </ddeItem>
      <ddeItem name="WDOFUT.ULT" advise="1">
        <values>
          <value>
            <val>5214.5</val>
          </value>
        </values>
      </ddeItem>
      <ddeItem name="WDOFUT.VAR" advise="1">
        <values>
          <value>
            <val>-0.72346501665873575</val>
          </value>
        </values>
      </ddeItem>
      <ddeItem name="WDOFUT.VEN" advise="1">
        <values>
          <value t="str">
            <val>01/04/2026</val>
          </value>
        </values>
      </ddeItem>
      <ddeItem name="WDOFUT.VOL" advise="1">
        <values>
          <value>
            <val>155147286945</val>
          </value>
        </values>
      </ddeItem>
    </ddeItems>
  </ddeLin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erficie-de-volatilidade-de-dolar" refreshOnLoad="1" connectionId="1" xr16:uid="{00000000-0016-0000-01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1:S7"/>
  <sheetViews>
    <sheetView tabSelected="1" topLeftCell="J1" workbookViewId="0">
      <selection activeCell="R15" sqref="R15"/>
    </sheetView>
  </sheetViews>
  <sheetFormatPr defaultRowHeight="15" x14ac:dyDescent="0.25"/>
  <cols>
    <col min="8" max="8" width="20.140625" bestFit="1" customWidth="1"/>
    <col min="10" max="10" width="12.7109375" bestFit="1" customWidth="1"/>
    <col min="15" max="15" width="20.140625" bestFit="1" customWidth="1"/>
    <col min="18" max="18" width="19" customWidth="1"/>
  </cols>
  <sheetData>
    <row r="1" spans="10:19" x14ac:dyDescent="0.25"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0:19" x14ac:dyDescent="0.25">
      <c r="J2" t="s">
        <v>24</v>
      </c>
      <c r="K2" cm="1">
        <f t="array" ref="K2">[1]!DI1FUT.ULT</f>
        <v>13.605</v>
      </c>
      <c r="L2" cm="1">
        <f t="array" ref="L2">[1]!DI1FUT.ABE</f>
        <v>13.55</v>
      </c>
      <c r="M2" cm="1">
        <f t="array" ref="M2">[1]!DI1FUT.MAX</f>
        <v>13.8</v>
      </c>
      <c r="N2" cm="1">
        <f t="array" ref="N2">[1]!DI1FUT.MIN</f>
        <v>13.37</v>
      </c>
      <c r="O2" cm="1">
        <f t="array" ref="O2">[1]!DI1FUT.FEC</f>
        <v>13.535000000000002</v>
      </c>
      <c r="P2" cm="1">
        <f t="array" ref="P2">[1]!DI1FUT.VAR</f>
        <v>0.51717768747690229</v>
      </c>
      <c r="Q2" cm="1">
        <f t="array" ref="Q2">[1]!DI1FUT.NEG</f>
        <v>98045</v>
      </c>
      <c r="R2" cm="1">
        <f t="array" ref="R2">[1]!DI1FUT.VOL</f>
        <v>62117723915.089996</v>
      </c>
      <c r="S2" t="str" cm="1">
        <f t="array" ref="S2">[1]!DI1FUT.VEN</f>
        <v>02/01/2029</v>
      </c>
    </row>
    <row r="3" spans="10:19" x14ac:dyDescent="0.25">
      <c r="J3" t="s">
        <v>30</v>
      </c>
      <c r="K3" cm="1">
        <f t="array" ref="K3">[1]!FRP0.ULT</f>
        <v>19.399999999999999</v>
      </c>
      <c r="L3" cm="1">
        <f t="array" ref="L3">[1]!FRP0.ABE</f>
        <v>18.600000000000001</v>
      </c>
      <c r="M3" cm="1">
        <f t="array" ref="M3">[1]!FRP0.MAX</f>
        <v>19.399999999999999</v>
      </c>
      <c r="N3" cm="1">
        <f t="array" ref="N3">[1]!FRP0.MIN</f>
        <v>18.100000000000001</v>
      </c>
      <c r="O3" cm="1">
        <f t="array" ref="O3">[1]!FRP0.FEC</f>
        <v>20.3</v>
      </c>
      <c r="P3" cm="1">
        <f t="array" ref="P3">[1]!FRP0.VAR</f>
        <v>-4.4334975369458078</v>
      </c>
      <c r="Q3" cm="1">
        <f t="array" ref="Q3">[1]!FRP0.NEG</f>
        <v>153</v>
      </c>
      <c r="R3" cm="1">
        <f t="array" ref="R3">[1]!FRP0.VOL</f>
        <v>9509786375</v>
      </c>
      <c r="S3" t="str" cm="1">
        <f t="array" ref="S3">[1]!FRP0.VEN</f>
        <v>30/03/2026</v>
      </c>
    </row>
    <row r="4" spans="10:19" x14ac:dyDescent="0.25">
      <c r="J4" t="s">
        <v>25</v>
      </c>
      <c r="K4" cm="1">
        <f t="array" ref="K4">[1]!'USD/BRL.ULT'</f>
        <v>0</v>
      </c>
      <c r="L4" cm="1">
        <f t="array" ref="L4">[1]!'USD/BRL.ABE'</f>
        <v>0</v>
      </c>
      <c r="M4" cm="1">
        <f t="array" ref="M4">[1]!'USD/BRL.MAX'</f>
        <v>0</v>
      </c>
      <c r="N4" cm="1">
        <f t="array" ref="N4">[1]!'USD/BRL.MIN'</f>
        <v>0</v>
      </c>
      <c r="O4" cm="1">
        <f t="array" ref="O4">[1]!'USD/BRL.FEC'</f>
        <v>0</v>
      </c>
      <c r="P4" cm="1">
        <f t="array" ref="P4">[1]!'USD/BRL.VAR'</f>
        <v>0</v>
      </c>
      <c r="Q4" cm="1">
        <f t="array" ref="Q4">[1]!'USD/BRL.NEG'</f>
        <v>0</v>
      </c>
      <c r="R4" cm="1">
        <f t="array" ref="R4">[1]!'USD/BRL.VOL'</f>
        <v>0</v>
      </c>
      <c r="S4" t="str" cm="1">
        <f t="array" ref="S4">[1]!'USD/BRL.VEN'</f>
        <v>01/01/3000</v>
      </c>
    </row>
    <row r="5" spans="10:19" x14ac:dyDescent="0.25">
      <c r="J5" t="s">
        <v>26</v>
      </c>
      <c r="K5" cm="1">
        <f t="array" ref="K5">[1]!WDOFUT.ULT</f>
        <v>5214.5</v>
      </c>
      <c r="L5" cm="1">
        <f t="array" ref="L5">[1]!WDOFUT.ABE</f>
        <v>5253</v>
      </c>
      <c r="M5" cm="1">
        <f t="array" ref="M5">[1]!WDOFUT.MAX</f>
        <v>5261</v>
      </c>
      <c r="N5" cm="1">
        <f t="array" ref="N5">[1]!WDOFUT.MIN</f>
        <v>5195.5</v>
      </c>
      <c r="O5">
        <v>5214.5</v>
      </c>
      <c r="P5" cm="1">
        <f t="array" ref="P5">[1]!WDOFUT.VAR</f>
        <v>-0.72346501665873575</v>
      </c>
      <c r="Q5" cm="1">
        <f t="array" ref="Q5">[1]!WDOFUT.NEG</f>
        <v>729445</v>
      </c>
      <c r="R5" cm="1">
        <f t="array" ref="R5">[1]!WDOFUT.VOL</f>
        <v>155147286945</v>
      </c>
      <c r="S5" t="str" cm="1">
        <f t="array" ref="S5">[1]!WDOFUT.VEN</f>
        <v>01/04/2026</v>
      </c>
    </row>
    <row r="6" spans="10:19" x14ac:dyDescent="0.25">
      <c r="J6" t="s">
        <v>31</v>
      </c>
      <c r="K6" cm="1">
        <f t="array" ref="K6">[1]!DOLINDEX.ULT</f>
        <v>0</v>
      </c>
      <c r="L6" cm="1">
        <f t="array" ref="L6">[1]!DOLINDEX.ABE</f>
        <v>0</v>
      </c>
      <c r="M6" cm="1">
        <f t="array" ref="M6">[1]!DOLINDEX.MAX</f>
        <v>0</v>
      </c>
      <c r="N6" cm="1">
        <f t="array" ref="N6">[1]!DOLINDEX.MIN</f>
        <v>0</v>
      </c>
      <c r="O6" cm="1">
        <f t="array" ref="O6">[1]!DOLINDEX.FEC</f>
        <v>0</v>
      </c>
      <c r="P6" cm="1">
        <f t="array" ref="P6">[1]!DOLINDEX.VAR</f>
        <v>0</v>
      </c>
      <c r="Q6" cm="1">
        <f t="array" ref="Q6">[1]!DOLINDEX.NEG</f>
        <v>0</v>
      </c>
      <c r="R6" cm="1">
        <f t="array" ref="R6">[1]!DOLINDEX.VOL</f>
        <v>0</v>
      </c>
      <c r="S6" t="str" cm="1">
        <f t="array" ref="S6">[1]!DOLINDEX.VEN</f>
        <v>01/01/3000</v>
      </c>
    </row>
    <row r="7" spans="10:19" x14ac:dyDescent="0.25">
      <c r="J7" t="s">
        <v>32</v>
      </c>
      <c r="K7" cm="1">
        <f t="array" ref="K7">[1]!GLDFUT.ULT</f>
        <v>5035.75</v>
      </c>
      <c r="L7" cm="1">
        <f t="array" ref="L7">[1]!GLDFUT.ABE</f>
        <v>5043</v>
      </c>
      <c r="M7" cm="1">
        <f t="array" ref="M7">[1]!GLDFUT.MAX</f>
        <v>5061.75</v>
      </c>
      <c r="N7" cm="1">
        <f t="array" ref="N7">[1]!GLDFUT.MIN</f>
        <v>5006</v>
      </c>
      <c r="O7" cm="1">
        <f t="array" ref="O7">[1]!GLDFUT.FEC</f>
        <v>5043.75</v>
      </c>
      <c r="P7" cm="1">
        <f t="array" ref="P7">[1]!GLDFUT.VAR</f>
        <v>-0.15861214374226051</v>
      </c>
      <c r="Q7" cm="1">
        <f t="array" ref="Q7">[1]!GLDFUT.NEG</f>
        <v>814</v>
      </c>
      <c r="R7" cm="1">
        <f t="array" ref="R7">[1]!GLDFUT.VOL</f>
        <v>82612960.239999995</v>
      </c>
      <c r="S7" t="str" cm="1">
        <f t="array" ref="S7">[1]!GLDFUT.VEN</f>
        <v>28/04/2026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0"/>
  <dimension ref="A1:L49"/>
  <sheetViews>
    <sheetView topLeftCell="A4" zoomScale="85" zoomScaleNormal="85" workbookViewId="0">
      <selection activeCell="G19" sqref="G19"/>
    </sheetView>
  </sheetViews>
  <sheetFormatPr defaultColWidth="10.28515625" defaultRowHeight="12" x14ac:dyDescent="0.2"/>
  <cols>
    <col min="1" max="1" width="11" style="5" customWidth="1"/>
    <col min="2" max="12" width="9.140625" style="5" customWidth="1"/>
    <col min="13" max="16384" width="10.28515625" style="5"/>
  </cols>
  <sheetData>
    <row r="1" spans="1:1" s="1" customFormat="1" ht="18" customHeight="1" x14ac:dyDescent="0.2">
      <c r="A1" s="1" t="s">
        <v>0</v>
      </c>
    </row>
    <row r="2" spans="1:1" s="1" customFormat="1" ht="18" customHeight="1" x14ac:dyDescent="0.2">
      <c r="A2" s="1" t="s">
        <v>1</v>
      </c>
    </row>
    <row r="3" spans="1:1" s="1" customFormat="1" ht="18" customHeight="1" x14ac:dyDescent="0.2">
      <c r="A3" s="1" t="s">
        <v>2</v>
      </c>
    </row>
    <row r="4" spans="1:1" s="1" customFormat="1" ht="18" customHeight="1" x14ac:dyDescent="0.2">
      <c r="A4" s="1" t="s">
        <v>3</v>
      </c>
    </row>
    <row r="5" spans="1:1" s="1" customFormat="1" ht="18" customHeight="1" x14ac:dyDescent="0.2">
      <c r="A5" s="1" t="s">
        <v>4</v>
      </c>
    </row>
    <row r="6" spans="1:1" s="1" customFormat="1" ht="18" customHeight="1" x14ac:dyDescent="0.2">
      <c r="A6" s="1" t="s">
        <v>5</v>
      </c>
    </row>
    <row r="7" spans="1:1" s="1" customFormat="1" ht="18" customHeight="1" x14ac:dyDescent="0.2">
      <c r="A7" s="1" t="s">
        <v>6</v>
      </c>
    </row>
    <row r="8" spans="1:1" s="1" customFormat="1" ht="18" customHeight="1" x14ac:dyDescent="0.2">
      <c r="A8" s="1" t="s">
        <v>7</v>
      </c>
    </row>
    <row r="9" spans="1:1" s="1" customFormat="1" ht="18" customHeight="1" x14ac:dyDescent="0.2">
      <c r="A9" s="1" t="s">
        <v>8</v>
      </c>
    </row>
    <row r="10" spans="1:1" s="1" customFormat="1" ht="18" customHeight="1" x14ac:dyDescent="0.2">
      <c r="A10" s="1" t="s">
        <v>9</v>
      </c>
    </row>
    <row r="11" spans="1:1" s="1" customFormat="1" ht="18" customHeight="1" x14ac:dyDescent="0.2">
      <c r="A11" s="1" t="s">
        <v>10</v>
      </c>
    </row>
    <row r="12" spans="1:1" s="1" customFormat="1" ht="18" customHeight="1" x14ac:dyDescent="0.2">
      <c r="A12" s="2" t="s">
        <v>11</v>
      </c>
    </row>
    <row r="13" spans="1:1" s="1" customFormat="1" ht="18" customHeight="1" x14ac:dyDescent="0.2">
      <c r="A13" s="2" t="s">
        <v>12</v>
      </c>
    </row>
    <row r="14" spans="1:1" s="1" customFormat="1" ht="18" customHeight="1" x14ac:dyDescent="0.2">
      <c r="A14" s="2" t="s">
        <v>13</v>
      </c>
    </row>
    <row r="15" spans="1:1" s="1" customFormat="1" ht="18" customHeight="1" x14ac:dyDescent="0.2">
      <c r="A15" s="2" t="s">
        <v>6</v>
      </c>
    </row>
    <row r="16" spans="1:1" s="1" customFormat="1" ht="18" customHeight="1" x14ac:dyDescent="0.2">
      <c r="A16" s="2"/>
    </row>
    <row r="17" spans="1:12" s="1" customFormat="1" ht="18" customHeight="1" x14ac:dyDescent="0.2">
      <c r="A17" s="2" t="s">
        <v>36</v>
      </c>
    </row>
    <row r="18" spans="1:12" ht="18" customHeight="1" x14ac:dyDescent="0.2">
      <c r="A18" s="3" t="s">
        <v>37</v>
      </c>
      <c r="B18" s="4">
        <v>1</v>
      </c>
      <c r="C18" s="4">
        <v>5</v>
      </c>
      <c r="D18" s="4">
        <v>10</v>
      </c>
      <c r="E18" s="4">
        <v>25</v>
      </c>
      <c r="F18" s="4">
        <v>37</v>
      </c>
      <c r="G18" s="4">
        <v>50</v>
      </c>
      <c r="H18" s="4">
        <v>63</v>
      </c>
      <c r="I18" s="4">
        <v>75</v>
      </c>
      <c r="J18" s="4">
        <v>90</v>
      </c>
      <c r="K18" s="4">
        <v>95</v>
      </c>
      <c r="L18" s="4">
        <v>99</v>
      </c>
    </row>
    <row r="19" spans="1:12" ht="18" customHeight="1" x14ac:dyDescent="0.2">
      <c r="A19" s="3">
        <v>46113</v>
      </c>
      <c r="B19" s="4">
        <v>21.26</v>
      </c>
      <c r="C19" s="4">
        <v>20.23</v>
      </c>
      <c r="D19" s="4">
        <v>19.11</v>
      </c>
      <c r="E19" s="4">
        <v>16.61</v>
      </c>
      <c r="F19" s="4">
        <v>15.3</v>
      </c>
      <c r="G19" s="4">
        <v>14.36</v>
      </c>
      <c r="H19" s="4">
        <v>13.6</v>
      </c>
      <c r="I19" s="4">
        <v>12.84</v>
      </c>
      <c r="J19" s="4">
        <v>12.24</v>
      </c>
      <c r="K19" s="4">
        <v>13.54</v>
      </c>
      <c r="L19" s="4">
        <v>15.69</v>
      </c>
    </row>
    <row r="20" spans="1:12" ht="18" customHeight="1" x14ac:dyDescent="0.2">
      <c r="A20" s="3">
        <v>46143</v>
      </c>
      <c r="B20" s="4">
        <v>21</v>
      </c>
      <c r="C20" s="4">
        <v>20.25</v>
      </c>
      <c r="D20" s="4">
        <v>19.329999999999998</v>
      </c>
      <c r="E20" s="4">
        <v>16.670000000000002</v>
      </c>
      <c r="F20" s="4">
        <v>15.29</v>
      </c>
      <c r="G20" s="4">
        <v>14.26</v>
      </c>
      <c r="H20" s="4">
        <v>13.49</v>
      </c>
      <c r="I20" s="4">
        <v>12.67</v>
      </c>
      <c r="J20" s="4">
        <v>12.04</v>
      </c>
      <c r="K20" s="4">
        <v>12.02</v>
      </c>
      <c r="L20" s="4">
        <v>12.01</v>
      </c>
    </row>
    <row r="21" spans="1:12" ht="18" customHeight="1" x14ac:dyDescent="0.2">
      <c r="A21" s="3">
        <v>46174</v>
      </c>
      <c r="B21" s="4">
        <v>20.91</v>
      </c>
      <c r="C21" s="4">
        <v>20</v>
      </c>
      <c r="D21" s="4">
        <v>18.97</v>
      </c>
      <c r="E21" s="4">
        <v>16.47</v>
      </c>
      <c r="F21" s="4">
        <v>15.43</v>
      </c>
      <c r="G21" s="4">
        <v>14.23</v>
      </c>
      <c r="H21" s="4">
        <v>13.53</v>
      </c>
      <c r="I21" s="4">
        <v>12.78</v>
      </c>
      <c r="J21" s="4">
        <v>12.23</v>
      </c>
      <c r="K21" s="4">
        <v>12.21</v>
      </c>
      <c r="L21" s="4">
        <v>12.2</v>
      </c>
    </row>
    <row r="22" spans="1:12" ht="18" customHeight="1" x14ac:dyDescent="0.2">
      <c r="A22" s="3">
        <v>46204</v>
      </c>
      <c r="B22" s="4">
        <v>21.09</v>
      </c>
      <c r="C22" s="4">
        <v>20.14</v>
      </c>
      <c r="D22" s="4">
        <v>19.059999999999999</v>
      </c>
      <c r="E22" s="4">
        <v>16.53</v>
      </c>
      <c r="F22" s="4">
        <v>15.47</v>
      </c>
      <c r="G22" s="4">
        <v>14.28</v>
      </c>
      <c r="H22" s="4">
        <v>13.6</v>
      </c>
      <c r="I22" s="4">
        <v>12.88</v>
      </c>
      <c r="J22" s="4">
        <v>12.41</v>
      </c>
      <c r="K22" s="4">
        <v>12.43</v>
      </c>
      <c r="L22" s="4">
        <v>12.47</v>
      </c>
    </row>
    <row r="23" spans="1:12" ht="18" customHeight="1" x14ac:dyDescent="0.2">
      <c r="A23" s="3">
        <v>46235</v>
      </c>
      <c r="B23" s="4">
        <v>21</v>
      </c>
      <c r="C23" s="4">
        <v>20.079999999999998</v>
      </c>
      <c r="D23" s="4">
        <v>19.04</v>
      </c>
      <c r="E23" s="4">
        <v>16.600000000000001</v>
      </c>
      <c r="F23" s="4">
        <v>15.56</v>
      </c>
      <c r="G23" s="4">
        <v>14.4</v>
      </c>
      <c r="H23" s="4">
        <v>13.75</v>
      </c>
      <c r="I23" s="4">
        <v>13.06</v>
      </c>
      <c r="J23" s="4">
        <v>12.64</v>
      </c>
      <c r="K23" s="4">
        <v>12.65</v>
      </c>
      <c r="L23" s="4">
        <v>12.69</v>
      </c>
    </row>
    <row r="24" spans="1:12" ht="18" customHeight="1" x14ac:dyDescent="0.2">
      <c r="A24" s="3">
        <v>46266</v>
      </c>
      <c r="B24" s="4">
        <v>21</v>
      </c>
      <c r="C24" s="4">
        <v>20.12</v>
      </c>
      <c r="D24" s="4">
        <v>19.12</v>
      </c>
      <c r="E24" s="4">
        <v>16.78</v>
      </c>
      <c r="F24" s="4">
        <v>15.74</v>
      </c>
      <c r="G24" s="4">
        <v>14.61</v>
      </c>
      <c r="H24" s="4">
        <v>13.99</v>
      </c>
      <c r="I24" s="4">
        <v>13.33</v>
      </c>
      <c r="J24" s="4">
        <v>12.97</v>
      </c>
      <c r="K24" s="4">
        <v>12.99</v>
      </c>
      <c r="L24" s="4">
        <v>13.01</v>
      </c>
    </row>
    <row r="25" spans="1:12" ht="18" customHeight="1" x14ac:dyDescent="0.2">
      <c r="A25" s="3">
        <v>46296</v>
      </c>
      <c r="B25" s="4">
        <v>21.34</v>
      </c>
      <c r="C25" s="4">
        <v>20.53</v>
      </c>
      <c r="D25" s="4">
        <v>19.579999999999998</v>
      </c>
      <c r="E25" s="4">
        <v>17.18</v>
      </c>
      <c r="F25" s="4">
        <v>16.12</v>
      </c>
      <c r="G25" s="4">
        <v>14.89</v>
      </c>
      <c r="H25" s="4">
        <v>14.36</v>
      </c>
      <c r="I25" s="4">
        <v>13.71</v>
      </c>
      <c r="J25" s="4">
        <v>13.41</v>
      </c>
      <c r="K25" s="4">
        <v>13.43</v>
      </c>
      <c r="L25" s="4">
        <v>13.46</v>
      </c>
    </row>
    <row r="26" spans="1:12" ht="18" customHeight="1" x14ac:dyDescent="0.2">
      <c r="A26" s="3">
        <v>46327</v>
      </c>
      <c r="B26" s="4">
        <v>21.84</v>
      </c>
      <c r="C26" s="4">
        <v>21.14</v>
      </c>
      <c r="D26" s="4">
        <v>20.28</v>
      </c>
      <c r="E26" s="4">
        <v>17.8</v>
      </c>
      <c r="F26" s="4">
        <v>16.71</v>
      </c>
      <c r="G26" s="4">
        <v>15.58</v>
      </c>
      <c r="H26" s="4">
        <v>14.96</v>
      </c>
      <c r="I26" s="4">
        <v>14.27</v>
      </c>
      <c r="J26" s="4">
        <v>13.94</v>
      </c>
      <c r="K26" s="4">
        <v>13.97</v>
      </c>
      <c r="L26" s="4">
        <v>14.01</v>
      </c>
    </row>
    <row r="27" spans="1:12" ht="18" customHeight="1" x14ac:dyDescent="0.2">
      <c r="A27" s="3">
        <v>46357</v>
      </c>
      <c r="B27" s="4">
        <v>21.85</v>
      </c>
      <c r="C27" s="4">
        <v>21.11</v>
      </c>
      <c r="D27" s="4">
        <v>20.28</v>
      </c>
      <c r="E27" s="4">
        <v>18.239999999999998</v>
      </c>
      <c r="F27" s="4">
        <v>16.66</v>
      </c>
      <c r="G27" s="4">
        <v>15.77</v>
      </c>
      <c r="H27" s="4">
        <v>15.17</v>
      </c>
      <c r="I27" s="4">
        <v>14.58</v>
      </c>
      <c r="J27" s="4">
        <v>14.35</v>
      </c>
      <c r="K27" s="4">
        <v>14.34</v>
      </c>
      <c r="L27" s="4">
        <v>14.34</v>
      </c>
    </row>
    <row r="28" spans="1:12" ht="18" customHeight="1" x14ac:dyDescent="0.2">
      <c r="A28" s="3">
        <v>46388</v>
      </c>
      <c r="B28" s="4">
        <v>21.78</v>
      </c>
      <c r="C28" s="4">
        <v>21.04</v>
      </c>
      <c r="D28" s="4">
        <v>20.170000000000002</v>
      </c>
      <c r="E28" s="4">
        <v>17.91</v>
      </c>
      <c r="F28" s="4">
        <v>16.940000000000001</v>
      </c>
      <c r="G28" s="4">
        <v>15.89</v>
      </c>
      <c r="H28" s="4">
        <v>15.33</v>
      </c>
      <c r="I28" s="4">
        <v>14.79</v>
      </c>
      <c r="J28" s="4">
        <v>14.6</v>
      </c>
      <c r="K28" s="4">
        <v>14.59</v>
      </c>
      <c r="L28" s="4">
        <v>14.58</v>
      </c>
    </row>
    <row r="29" spans="1:12" ht="18" customHeight="1" x14ac:dyDescent="0.2">
      <c r="A29" s="3">
        <v>46419</v>
      </c>
      <c r="B29" s="4">
        <v>21.93</v>
      </c>
      <c r="C29" s="4">
        <v>21.25</v>
      </c>
      <c r="D29" s="4">
        <v>20.43</v>
      </c>
      <c r="E29" s="4">
        <v>18.079999999999998</v>
      </c>
      <c r="F29" s="4">
        <v>17.05</v>
      </c>
      <c r="G29" s="4">
        <v>15.98</v>
      </c>
      <c r="H29" s="4">
        <v>15.4</v>
      </c>
      <c r="I29" s="4">
        <v>14.78</v>
      </c>
      <c r="J29" s="4">
        <v>14.51</v>
      </c>
      <c r="K29" s="4">
        <v>14.55</v>
      </c>
      <c r="L29" s="4">
        <v>14.6</v>
      </c>
    </row>
    <row r="30" spans="1:12" ht="18" customHeight="1" x14ac:dyDescent="0.2">
      <c r="A30" s="3">
        <v>46447</v>
      </c>
      <c r="B30" s="4">
        <v>21.87</v>
      </c>
      <c r="C30" s="4">
        <v>21.21</v>
      </c>
      <c r="D30" s="4">
        <v>20.399999999999999</v>
      </c>
      <c r="E30" s="4">
        <v>18.12</v>
      </c>
      <c r="F30" s="4">
        <v>17.11</v>
      </c>
      <c r="G30" s="4">
        <v>16.07</v>
      </c>
      <c r="H30" s="4">
        <v>15.52</v>
      </c>
      <c r="I30" s="4">
        <v>14.92</v>
      </c>
      <c r="J30" s="4">
        <v>14.69</v>
      </c>
      <c r="K30" s="4">
        <v>14.72</v>
      </c>
      <c r="L30" s="4">
        <v>14.78</v>
      </c>
    </row>
    <row r="31" spans="1:12" ht="18" customHeight="1" x14ac:dyDescent="0.2">
      <c r="A31" s="3">
        <v>46478</v>
      </c>
      <c r="B31" s="4">
        <v>21.61</v>
      </c>
      <c r="C31" s="4">
        <v>20.85</v>
      </c>
      <c r="D31" s="4">
        <v>19.97</v>
      </c>
      <c r="E31" s="4">
        <v>17.77</v>
      </c>
      <c r="F31" s="4">
        <v>16.850000000000001</v>
      </c>
      <c r="G31" s="4">
        <v>15.92</v>
      </c>
      <c r="H31" s="4">
        <v>15.43</v>
      </c>
      <c r="I31" s="4">
        <v>14.97</v>
      </c>
      <c r="J31" s="4">
        <v>14.99</v>
      </c>
      <c r="K31" s="4">
        <v>15.09</v>
      </c>
      <c r="L31" s="4">
        <v>15.24</v>
      </c>
    </row>
    <row r="32" spans="1:12" ht="18" customHeight="1" x14ac:dyDescent="0.2">
      <c r="A32" s="3">
        <v>46569</v>
      </c>
      <c r="B32" s="4">
        <v>21.48</v>
      </c>
      <c r="C32" s="4">
        <v>20.78</v>
      </c>
      <c r="D32" s="4">
        <v>20</v>
      </c>
      <c r="E32" s="4">
        <v>18.21</v>
      </c>
      <c r="F32" s="4">
        <v>16.84</v>
      </c>
      <c r="G32" s="4">
        <v>16.059999999999999</v>
      </c>
      <c r="H32" s="4">
        <v>15.6</v>
      </c>
      <c r="I32" s="4">
        <v>15.14</v>
      </c>
      <c r="J32" s="4">
        <v>15.08</v>
      </c>
      <c r="K32" s="4">
        <v>15.12</v>
      </c>
      <c r="L32" s="4">
        <v>15.19</v>
      </c>
    </row>
    <row r="33" spans="1:12" ht="18" customHeight="1" x14ac:dyDescent="0.2">
      <c r="A33" s="3">
        <v>46600</v>
      </c>
      <c r="B33" s="4">
        <v>21.84</v>
      </c>
      <c r="C33" s="4">
        <v>21.1</v>
      </c>
      <c r="D33" s="4">
        <v>20.25</v>
      </c>
      <c r="E33" s="4">
        <v>18.12</v>
      </c>
      <c r="F33" s="4">
        <v>16.77</v>
      </c>
      <c r="G33" s="4">
        <v>15.88</v>
      </c>
      <c r="H33" s="4">
        <v>15.48</v>
      </c>
      <c r="I33" s="4">
        <v>15</v>
      </c>
      <c r="J33" s="4">
        <v>15.3</v>
      </c>
      <c r="K33" s="4">
        <v>15.53</v>
      </c>
      <c r="L33" s="4">
        <v>15.77</v>
      </c>
    </row>
    <row r="34" spans="1:12" ht="18" customHeight="1" x14ac:dyDescent="0.2">
      <c r="A34" s="3">
        <v>46661</v>
      </c>
      <c r="B34" s="4">
        <v>21.69</v>
      </c>
      <c r="C34" s="4">
        <v>20.97</v>
      </c>
      <c r="D34" s="4">
        <v>20.149999999999999</v>
      </c>
      <c r="E34" s="4">
        <v>18.100000000000001</v>
      </c>
      <c r="F34" s="4">
        <v>16.77</v>
      </c>
      <c r="G34" s="4">
        <v>15.88</v>
      </c>
      <c r="H34" s="4">
        <v>15.48</v>
      </c>
      <c r="I34" s="4">
        <v>15.01</v>
      </c>
      <c r="J34" s="4">
        <v>15.21</v>
      </c>
      <c r="K34" s="4">
        <v>15.39</v>
      </c>
      <c r="L34" s="4">
        <v>15.62</v>
      </c>
    </row>
    <row r="35" spans="1:12" ht="18" customHeight="1" x14ac:dyDescent="0.2">
      <c r="A35" s="2">
        <v>46753</v>
      </c>
      <c r="B35" s="1">
        <v>21.68</v>
      </c>
      <c r="C35" s="1">
        <v>21.06</v>
      </c>
      <c r="D35" s="1">
        <v>20.329999999999998</v>
      </c>
      <c r="E35" s="1">
        <v>18.29</v>
      </c>
      <c r="F35" s="1">
        <v>17.36</v>
      </c>
      <c r="G35" s="1">
        <v>16.420000000000002</v>
      </c>
      <c r="H35" s="1">
        <v>15.97</v>
      </c>
      <c r="I35" s="1">
        <v>15.47</v>
      </c>
      <c r="J35" s="1">
        <v>15.33</v>
      </c>
      <c r="K35" s="1">
        <v>15.38</v>
      </c>
      <c r="L35" s="1">
        <v>15.46</v>
      </c>
    </row>
    <row r="36" spans="1:12" s="1" customFormat="1" ht="18" customHeight="1" x14ac:dyDescent="0.2">
      <c r="A36" s="2">
        <v>46844</v>
      </c>
      <c r="B36" s="1">
        <v>21.94</v>
      </c>
      <c r="C36" s="1">
        <v>21.27</v>
      </c>
      <c r="D36" s="1">
        <v>20.440000000000001</v>
      </c>
      <c r="E36" s="1">
        <v>18.010000000000002</v>
      </c>
      <c r="F36" s="1">
        <v>17.03</v>
      </c>
      <c r="G36" s="1">
        <v>16.059999999999999</v>
      </c>
      <c r="H36" s="1">
        <v>15.73</v>
      </c>
      <c r="I36" s="1">
        <v>15.25</v>
      </c>
      <c r="J36" s="1">
        <v>15.48</v>
      </c>
      <c r="K36" s="1">
        <v>15.67</v>
      </c>
      <c r="L36" s="1">
        <v>15.87</v>
      </c>
    </row>
    <row r="37" spans="1:12" s="1" customFormat="1" ht="18" customHeight="1" x14ac:dyDescent="0.2">
      <c r="A37" s="2">
        <v>46935</v>
      </c>
      <c r="B37" s="1">
        <v>21.77</v>
      </c>
      <c r="C37" s="1">
        <v>21.13</v>
      </c>
      <c r="D37" s="1">
        <v>20.41</v>
      </c>
      <c r="E37" s="1">
        <v>18.62</v>
      </c>
      <c r="F37" s="1">
        <v>17.29</v>
      </c>
      <c r="G37" s="1">
        <v>16.52</v>
      </c>
      <c r="H37" s="1">
        <v>16.07</v>
      </c>
      <c r="I37" s="1">
        <v>15.58</v>
      </c>
      <c r="J37" s="1">
        <v>15.47</v>
      </c>
      <c r="K37" s="1">
        <v>15.53</v>
      </c>
      <c r="L37" s="1">
        <v>15.62</v>
      </c>
    </row>
    <row r="38" spans="1:12" s="1" customFormat="1" ht="18" customHeight="1" x14ac:dyDescent="0.2">
      <c r="A38" s="2">
        <v>47119</v>
      </c>
      <c r="B38" s="1">
        <v>22.52</v>
      </c>
      <c r="C38" s="1">
        <v>21.87</v>
      </c>
      <c r="D38" s="1">
        <v>21.13</v>
      </c>
      <c r="E38" s="1">
        <v>19.3</v>
      </c>
      <c r="F38" s="1">
        <v>17.93</v>
      </c>
      <c r="G38" s="1">
        <v>17.12</v>
      </c>
      <c r="H38" s="1">
        <v>16.63</v>
      </c>
      <c r="I38" s="1">
        <v>16.12</v>
      </c>
      <c r="J38" s="1">
        <v>15.95</v>
      </c>
      <c r="K38" s="1">
        <v>16</v>
      </c>
      <c r="L38" s="1">
        <v>16.07</v>
      </c>
    </row>
    <row r="39" spans="1:12" s="1" customFormat="1" ht="18" customHeight="1" x14ac:dyDescent="0.2">
      <c r="A39" s="2">
        <v>47209</v>
      </c>
      <c r="B39" s="1">
        <v>23.58</v>
      </c>
      <c r="C39" s="1">
        <v>22.86</v>
      </c>
      <c r="D39" s="1">
        <v>22.02</v>
      </c>
      <c r="E39" s="1">
        <v>19.850000000000001</v>
      </c>
      <c r="F39" s="1">
        <v>18.489999999999998</v>
      </c>
      <c r="G39" s="1">
        <v>17.41</v>
      </c>
      <c r="H39" s="1">
        <v>16.739999999999998</v>
      </c>
      <c r="I39" s="1">
        <v>16.489999999999998</v>
      </c>
      <c r="J39" s="1">
        <v>16.61</v>
      </c>
      <c r="K39" s="1">
        <v>16.760000000000002</v>
      </c>
      <c r="L39" s="1">
        <v>16.95</v>
      </c>
    </row>
    <row r="40" spans="1:12" s="1" customFormat="1" ht="18" customHeight="1" x14ac:dyDescent="0.2">
      <c r="A40" s="2">
        <v>47300</v>
      </c>
      <c r="B40" s="1">
        <v>24.08</v>
      </c>
      <c r="C40" s="1">
        <v>23.36</v>
      </c>
      <c r="D40" s="1">
        <v>22.52</v>
      </c>
      <c r="E40" s="1">
        <v>20.350000000000001</v>
      </c>
      <c r="F40" s="1">
        <v>18.989999999999998</v>
      </c>
      <c r="G40" s="1">
        <v>17.989999999999998</v>
      </c>
      <c r="H40" s="1">
        <v>17.53</v>
      </c>
      <c r="I40" s="1">
        <v>16.97</v>
      </c>
      <c r="J40" s="1">
        <v>17.11</v>
      </c>
      <c r="K40" s="1">
        <v>17.260000000000002</v>
      </c>
      <c r="L40" s="1">
        <v>17.45</v>
      </c>
    </row>
    <row r="41" spans="1:12" s="1" customFormat="1" ht="18" customHeight="1" x14ac:dyDescent="0.2">
      <c r="A41" s="2">
        <v>10959</v>
      </c>
      <c r="B41" s="1">
        <v>22.98</v>
      </c>
      <c r="C41" s="1">
        <v>22.33</v>
      </c>
      <c r="D41" s="1">
        <v>21.58</v>
      </c>
      <c r="E41" s="1">
        <v>19.760000000000002</v>
      </c>
      <c r="F41" s="1">
        <v>18.39</v>
      </c>
      <c r="G41" s="1">
        <v>17.57</v>
      </c>
      <c r="H41" s="1">
        <v>17.07</v>
      </c>
      <c r="I41" s="1">
        <v>16.55</v>
      </c>
      <c r="J41" s="1">
        <v>16.39</v>
      </c>
      <c r="K41" s="1">
        <v>16.43</v>
      </c>
      <c r="L41" s="1">
        <v>16.5</v>
      </c>
    </row>
    <row r="42" spans="1:12" ht="18" customHeight="1" x14ac:dyDescent="0.2">
      <c r="A42" s="2">
        <v>11324</v>
      </c>
      <c r="B42" s="1">
        <v>23.04</v>
      </c>
      <c r="C42" s="1">
        <v>22.43</v>
      </c>
      <c r="D42" s="1">
        <v>21.71</v>
      </c>
      <c r="E42" s="1">
        <v>19.82</v>
      </c>
      <c r="F42" s="1">
        <v>18.45</v>
      </c>
      <c r="G42" s="1">
        <v>17.62</v>
      </c>
      <c r="H42" s="1">
        <v>16.88</v>
      </c>
      <c r="I42" s="1">
        <v>16.5</v>
      </c>
      <c r="J42" s="1">
        <v>16.43</v>
      </c>
      <c r="K42" s="1">
        <v>16.47</v>
      </c>
      <c r="L42" s="1">
        <v>16.54</v>
      </c>
    </row>
    <row r="43" spans="1:12" ht="18" customHeight="1" x14ac:dyDescent="0.2">
      <c r="A43" s="2" t="s">
        <v>33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8" customHeight="1" x14ac:dyDescent="0.2">
      <c r="A44" s="2" t="s">
        <v>34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8" customHeight="1" x14ac:dyDescent="0.2">
      <c r="A45" s="2" t="s">
        <v>35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">
      <c r="A47" s="2" t="s">
        <v>27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">
      <c r="A48" s="2" t="s">
        <v>28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">
      <c r="A49" s="2" t="s">
        <v>29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dde profit</vt:lpstr>
      <vt:lpstr>base_b3</vt:lpstr>
      <vt:lpstr>base_b3!superficie_de_volatilidade_de_dolar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Luvizuto</dc:creator>
  <cp:lastModifiedBy>marcus vinicius rezende dos santos</cp:lastModifiedBy>
  <dcterms:created xsi:type="dcterms:W3CDTF">2022-04-11T17:53:54Z</dcterms:created>
  <dcterms:modified xsi:type="dcterms:W3CDTF">2026-03-18T11:51:11Z</dcterms:modified>
</cp:coreProperties>
</file>